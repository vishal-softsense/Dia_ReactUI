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j_MVC_Project\1.MVC FINAL\DiasenseSoftware\excelfolder\"/>
    </mc:Choice>
  </mc:AlternateContent>
  <bookViews>
    <workbookView xWindow="0" yWindow="0" windowWidth="20490" windowHeight="7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I3" i="1"/>
  <c r="K2" i="1"/>
</calcChain>
</file>

<file path=xl/sharedStrings.xml><?xml version="1.0" encoding="utf-8"?>
<sst xmlns="http://schemas.openxmlformats.org/spreadsheetml/2006/main" count="118" uniqueCount="103">
  <si>
    <t>Account Name</t>
  </si>
  <si>
    <t>Short Name</t>
  </si>
  <si>
    <t>Group Name</t>
  </si>
  <si>
    <t>Account Type</t>
  </si>
  <si>
    <t>OpeningDC</t>
  </si>
  <si>
    <t>Opening Balance</t>
  </si>
  <si>
    <t>Opening Currency</t>
  </si>
  <si>
    <t>Master Curreny Rate</t>
  </si>
  <si>
    <t>Master Currency Amount</t>
  </si>
  <si>
    <t>Stock Currency Rate</t>
  </si>
  <si>
    <t>Stock Currency Amount</t>
  </si>
  <si>
    <t>AG</t>
  </si>
  <si>
    <t>AddressLine1</t>
  </si>
  <si>
    <t>AddressLine2</t>
  </si>
  <si>
    <t>AddressLine3</t>
  </si>
  <si>
    <t>City</t>
  </si>
  <si>
    <t>State</t>
  </si>
  <si>
    <t>ZipCode</t>
  </si>
  <si>
    <t>Country</t>
  </si>
  <si>
    <t>Telephone</t>
  </si>
  <si>
    <t>Office Telephone</t>
  </si>
  <si>
    <t>FAX</t>
  </si>
  <si>
    <t>Mobile</t>
  </si>
  <si>
    <t>Email</t>
  </si>
  <si>
    <t>Website</t>
  </si>
  <si>
    <t>Skype ID</t>
  </si>
  <si>
    <t>QQ ID</t>
  </si>
  <si>
    <t>Establishment Date</t>
  </si>
  <si>
    <t>Shiping Company Name</t>
  </si>
  <si>
    <t>Shiping Street</t>
  </si>
  <si>
    <t>Shiping Area</t>
  </si>
  <si>
    <t>Shiping City</t>
  </si>
  <si>
    <t>Shiping State</t>
  </si>
  <si>
    <t>Shioing ZipCode</t>
  </si>
  <si>
    <t>Shiping Country</t>
  </si>
  <si>
    <t>Shiping Telephone</t>
  </si>
  <si>
    <t>Shiping Fax</t>
  </si>
  <si>
    <t>Buyer Name</t>
  </si>
  <si>
    <t>Salesman Name</t>
  </si>
  <si>
    <t>Salesman Commission Per</t>
  </si>
  <si>
    <t>Overdue Interest Per</t>
  </si>
  <si>
    <t>Discount Per</t>
  </si>
  <si>
    <t>Term Name</t>
  </si>
  <si>
    <t>Term Per</t>
  </si>
  <si>
    <t>Credit Limit</t>
  </si>
  <si>
    <t>Default Due Days</t>
  </si>
  <si>
    <t>Default Grace Period</t>
  </si>
  <si>
    <t>GrNo</t>
  </si>
  <si>
    <t>Bank Acount Code</t>
  </si>
  <si>
    <t>Bank Name</t>
  </si>
  <si>
    <t>Broker Name</t>
  </si>
  <si>
    <t>Broker Per</t>
  </si>
  <si>
    <t>Contact Person Name</t>
  </si>
  <si>
    <t>Bank Account No</t>
  </si>
  <si>
    <t>Bank Routing</t>
  </si>
  <si>
    <t>Bank Swift Code</t>
  </si>
  <si>
    <t>PAN</t>
  </si>
  <si>
    <t>Import Export Code</t>
  </si>
  <si>
    <t>CST No</t>
  </si>
  <si>
    <t>CIN No</t>
  </si>
  <si>
    <t>TIN No</t>
  </si>
  <si>
    <t>JBTID</t>
  </si>
  <si>
    <t>RefParty1</t>
  </si>
  <si>
    <t>RefPhone1</t>
  </si>
  <si>
    <t>RefComments1</t>
  </si>
  <si>
    <t>Remarks</t>
  </si>
  <si>
    <t>Vishal Korat</t>
  </si>
  <si>
    <t>VK</t>
  </si>
  <si>
    <t>Local Customer</t>
  </si>
  <si>
    <t>Customer</t>
  </si>
  <si>
    <t>D</t>
  </si>
  <si>
    <t>INR</t>
  </si>
  <si>
    <t>A</t>
  </si>
  <si>
    <t>909, Icon Business Center</t>
  </si>
  <si>
    <t>Nr Valentine Cinema</t>
  </si>
  <si>
    <t>Dumas Road</t>
  </si>
  <si>
    <t>Surat</t>
  </si>
  <si>
    <t>Gujarat</t>
  </si>
  <si>
    <t>India</t>
  </si>
  <si>
    <t>+91 90167 89393</t>
  </si>
  <si>
    <t>vishal@softsense.i</t>
  </si>
  <si>
    <t>www.softsense.in</t>
  </si>
  <si>
    <t>SoftSense Technologies Private Limited</t>
  </si>
  <si>
    <t>Nr Valentine Cinema Dumas Road</t>
  </si>
  <si>
    <t>COD</t>
  </si>
  <si>
    <t>Satish Shah</t>
  </si>
  <si>
    <t xml:space="preserve"> </t>
  </si>
  <si>
    <t>Raj Doshi</t>
  </si>
  <si>
    <t>RJ</t>
  </si>
  <si>
    <t>Local Supplier</t>
  </si>
  <si>
    <t>Supplier</t>
  </si>
  <si>
    <t>C</t>
  </si>
  <si>
    <t>USD</t>
  </si>
  <si>
    <t>632,Belgium Tower</t>
  </si>
  <si>
    <t>Begampura</t>
  </si>
  <si>
    <t>Station Road</t>
  </si>
  <si>
    <t>+91 94294 06350</t>
  </si>
  <si>
    <t>raj@diasense.in</t>
  </si>
  <si>
    <t>www.diasense.com</t>
  </si>
  <si>
    <t>DiaSense Enterprise Private Limited</t>
  </si>
  <si>
    <t>Begampura Station Road</t>
  </si>
  <si>
    <t>30 Days</t>
  </si>
  <si>
    <t>Chirag Sheth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</si>
</sst>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Fill="1"/>
    <xf numFmtId="164" fontId="0" fillId="0" borderId="0" xfId="0" applyNumberFormat="1"/>
    <xf numFmtId="0" fontId="0" fillId="0" borderId="0" xfId="0" quotePrefix="1"/>
    <xf numFmtId="0" fontId="1" fillId="0" borderId="0" xfId="1"/>
    <xf numFmtId="15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oftsense.in/" TargetMode="External"/><Relationship Id="rId2" Type="http://schemas.openxmlformats.org/officeDocument/2006/relationships/hyperlink" Target="mailto:raj@diasense.in" TargetMode="External"/><Relationship Id="rId1" Type="http://schemas.openxmlformats.org/officeDocument/2006/relationships/hyperlink" Target="mailto:vishal@softsense.i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iasen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"/>
  <sheetViews>
    <sheetView tabSelected="1" workbookViewId="0">
      <selection activeCell="F7" sqref="F7"/>
    </sheetView>
  </sheetViews>
  <sheetFormatPr defaultRowHeight="15" x14ac:dyDescent="0.25"/>
  <cols>
    <col min="1" max="1" width="17" style="7" customWidth="1"/>
    <col min="2" max="2" width="15.5703125" customWidth="1"/>
    <col min="3" max="3" width="14.5703125" style="7" bestFit="1" customWidth="1"/>
    <col min="4" max="5" width="16.7109375" style="7" customWidth="1"/>
    <col min="6" max="6" width="16" style="7" bestFit="1" customWidth="1"/>
    <col min="7" max="7" width="17" style="7" bestFit="1" customWidth="1"/>
    <col min="8" max="8" width="19.28515625" bestFit="1" customWidth="1"/>
    <col min="9" max="9" width="23.42578125" bestFit="1" customWidth="1"/>
    <col min="10" max="10" width="18.7109375" bestFit="1" customWidth="1"/>
    <col min="11" max="11" width="22" bestFit="1" customWidth="1"/>
    <col min="13" max="13" width="23.7109375" bestFit="1" customWidth="1"/>
    <col min="14" max="14" width="25.7109375" customWidth="1"/>
    <col min="15" max="15" width="12.85546875" bestFit="1" customWidth="1"/>
    <col min="20" max="20" width="10.5703125" bestFit="1" customWidth="1"/>
    <col min="21" max="21" width="17.42578125" customWidth="1"/>
    <col min="22" max="22" width="11.7109375" customWidth="1"/>
    <col min="23" max="23" width="15" bestFit="1" customWidth="1"/>
    <col min="24" max="24" width="18" bestFit="1" customWidth="1"/>
    <col min="25" max="25" width="18.7109375" bestFit="1" customWidth="1"/>
    <col min="28" max="28" width="25.28515625" customWidth="1"/>
    <col min="29" max="29" width="29.28515625" customWidth="1"/>
    <col min="30" max="30" width="23.7109375" bestFit="1" customWidth="1"/>
    <col min="31" max="31" width="31.42578125" bestFit="1" customWidth="1"/>
    <col min="32" max="32" width="12.42578125" customWidth="1"/>
    <col min="33" max="33" width="12.5703125" bestFit="1" customWidth="1"/>
    <col min="34" max="34" width="15.42578125" bestFit="1" customWidth="1"/>
    <col min="35" max="35" width="15.140625" bestFit="1" customWidth="1"/>
    <col min="36" max="36" width="17.85546875" bestFit="1" customWidth="1"/>
    <col min="37" max="37" width="11" bestFit="1" customWidth="1"/>
    <col min="38" max="38" width="11.85546875" bestFit="1" customWidth="1"/>
    <col min="39" max="39" width="15.28515625" bestFit="1" customWidth="1"/>
    <col min="40" max="40" width="24.5703125" bestFit="1" customWidth="1"/>
    <col min="41" max="41" width="19.85546875" bestFit="1" customWidth="1"/>
    <col min="42" max="42" width="12.140625" bestFit="1" customWidth="1"/>
    <col min="43" max="43" width="11.28515625" bestFit="1" customWidth="1"/>
    <col min="44" max="44" width="12.5703125" customWidth="1"/>
    <col min="45" max="45" width="15.85546875" customWidth="1"/>
    <col min="46" max="46" width="16.28515625" bestFit="1" customWidth="1"/>
    <col min="47" max="47" width="19.5703125" bestFit="1" customWidth="1"/>
    <col min="48" max="48" width="10.85546875" customWidth="1"/>
    <col min="49" max="49" width="17.28515625" bestFit="1" customWidth="1"/>
    <col min="50" max="50" width="11" bestFit="1" customWidth="1"/>
    <col min="51" max="51" width="12.5703125" bestFit="1" customWidth="1"/>
    <col min="52" max="52" width="10.28515625" bestFit="1" customWidth="1"/>
    <col min="53" max="53" width="20.28515625" bestFit="1" customWidth="1"/>
    <col min="54" max="54" width="16" bestFit="1" customWidth="1"/>
    <col min="55" max="55" width="12.5703125" bestFit="1" customWidth="1"/>
    <col min="56" max="56" width="15.42578125" bestFit="1" customWidth="1"/>
    <col min="58" max="58" width="18.42578125" bestFit="1" customWidth="1"/>
    <col min="64" max="64" width="10.7109375" bestFit="1" customWidth="1"/>
    <col min="65" max="65" width="14.7109375" bestFit="1" customWidth="1"/>
  </cols>
  <sheetData>
    <row r="1" spans="1:66" x14ac:dyDescent="0.25">
      <c r="A1" s="7" t="s">
        <v>0</v>
      </c>
      <c r="B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25">
      <c r="A2" s="7" t="s">
        <v>66</v>
      </c>
      <c r="B2" t="s">
        <v>67</v>
      </c>
      <c r="C2" s="7" t="s">
        <v>68</v>
      </c>
      <c r="D2" s="7" t="s">
        <v>69</v>
      </c>
      <c r="E2" s="7" t="s">
        <v>70</v>
      </c>
      <c r="F2" s="9">
        <v>1000000</v>
      </c>
      <c r="G2" s="9" t="s">
        <v>71</v>
      </c>
      <c r="H2" s="2">
        <v>1</v>
      </c>
      <c r="I2" s="2">
        <v>1000000</v>
      </c>
      <c r="J2" s="2">
        <v>83</v>
      </c>
      <c r="K2" s="2">
        <f>F2*J2</f>
        <v>83000000</v>
      </c>
      <c r="L2" s="1" t="s">
        <v>72</v>
      </c>
      <c r="M2" t="s">
        <v>73</v>
      </c>
      <c r="N2" t="s">
        <v>74</v>
      </c>
      <c r="O2" t="s">
        <v>75</v>
      </c>
      <c r="P2" t="s">
        <v>76</v>
      </c>
      <c r="Q2" t="s">
        <v>77</v>
      </c>
      <c r="R2">
        <v>395007</v>
      </c>
      <c r="S2" t="s">
        <v>78</v>
      </c>
      <c r="T2">
        <v>2604103</v>
      </c>
      <c r="U2">
        <v>2604102</v>
      </c>
      <c r="V2">
        <v>2604102</v>
      </c>
      <c r="W2" s="3" t="s">
        <v>79</v>
      </c>
      <c r="X2" s="4" t="s">
        <v>80</v>
      </c>
      <c r="Y2" s="4" t="s">
        <v>81</v>
      </c>
      <c r="AB2" s="5">
        <v>39497</v>
      </c>
      <c r="AC2" t="s">
        <v>82</v>
      </c>
      <c r="AD2" t="s">
        <v>73</v>
      </c>
      <c r="AE2" t="s">
        <v>83</v>
      </c>
      <c r="AF2" t="s">
        <v>76</v>
      </c>
      <c r="AG2" t="s">
        <v>77</v>
      </c>
      <c r="AH2">
        <v>395007</v>
      </c>
      <c r="AI2" t="s">
        <v>78</v>
      </c>
      <c r="AJ2">
        <v>2604103</v>
      </c>
      <c r="AK2">
        <v>2604102</v>
      </c>
      <c r="AO2">
        <v>1</v>
      </c>
      <c r="AP2">
        <v>0</v>
      </c>
      <c r="AQ2" t="s">
        <v>84</v>
      </c>
      <c r="AR2">
        <v>1</v>
      </c>
      <c r="AS2">
        <v>5000000</v>
      </c>
      <c r="AT2">
        <v>0</v>
      </c>
      <c r="AU2">
        <v>7</v>
      </c>
      <c r="AY2" t="s">
        <v>85</v>
      </c>
      <c r="AZ2">
        <v>1</v>
      </c>
      <c r="BL2" t="s">
        <v>86</v>
      </c>
      <c r="BM2" t="s">
        <v>86</v>
      </c>
    </row>
    <row r="3" spans="1:66" x14ac:dyDescent="0.25">
      <c r="A3" s="7" t="s">
        <v>87</v>
      </c>
      <c r="B3" t="s">
        <v>88</v>
      </c>
      <c r="C3" s="7" t="s">
        <v>89</v>
      </c>
      <c r="D3" s="7" t="s">
        <v>90</v>
      </c>
      <c r="E3" s="7" t="s">
        <v>91</v>
      </c>
      <c r="F3" s="9">
        <v>100000</v>
      </c>
      <c r="G3" s="9" t="s">
        <v>92</v>
      </c>
      <c r="H3" s="2">
        <v>83</v>
      </c>
      <c r="I3" s="2">
        <f>F3/H3</f>
        <v>1204.8192771084337</v>
      </c>
      <c r="J3" s="2">
        <v>1</v>
      </c>
      <c r="K3" s="2">
        <f>F3</f>
        <v>100000</v>
      </c>
      <c r="L3" s="1" t="s">
        <v>72</v>
      </c>
      <c r="M3" t="s">
        <v>93</v>
      </c>
      <c r="N3" t="s">
        <v>94</v>
      </c>
      <c r="O3" t="s">
        <v>95</v>
      </c>
      <c r="P3" t="s">
        <v>76</v>
      </c>
      <c r="Q3" t="s">
        <v>77</v>
      </c>
      <c r="R3">
        <v>395003</v>
      </c>
      <c r="S3" t="s">
        <v>78</v>
      </c>
      <c r="T3">
        <v>2601425</v>
      </c>
      <c r="U3">
        <v>2601424</v>
      </c>
      <c r="V3">
        <v>2601424</v>
      </c>
      <c r="W3" s="3" t="s">
        <v>96</v>
      </c>
      <c r="X3" s="4" t="s">
        <v>97</v>
      </c>
      <c r="Y3" s="4" t="s">
        <v>98</v>
      </c>
      <c r="AB3" s="5">
        <v>42296</v>
      </c>
      <c r="AC3" t="s">
        <v>99</v>
      </c>
      <c r="AD3" t="s">
        <v>93</v>
      </c>
      <c r="AE3" t="s">
        <v>100</v>
      </c>
      <c r="AF3" t="s">
        <v>76</v>
      </c>
      <c r="AG3" t="s">
        <v>77</v>
      </c>
      <c r="AH3">
        <v>395003</v>
      </c>
      <c r="AI3" t="s">
        <v>78</v>
      </c>
      <c r="AJ3">
        <v>2601425</v>
      </c>
      <c r="AK3">
        <v>2601424</v>
      </c>
      <c r="AO3">
        <v>1</v>
      </c>
      <c r="AP3">
        <v>0</v>
      </c>
      <c r="AQ3" t="s">
        <v>101</v>
      </c>
      <c r="AR3">
        <v>1</v>
      </c>
      <c r="AS3">
        <v>500000</v>
      </c>
      <c r="AT3">
        <v>30</v>
      </c>
      <c r="AU3">
        <v>10</v>
      </c>
      <c r="AY3" t="s">
        <v>102</v>
      </c>
      <c r="AZ3">
        <v>1</v>
      </c>
      <c r="BL3" t="s">
        <v>86</v>
      </c>
      <c r="BM3" t="s">
        <v>86</v>
      </c>
    </row>
    <row r="5" spans="1:66" x14ac:dyDescent="0.25">
      <c r="A5" s="8"/>
      <c r="B5" s="6"/>
      <c r="C5" s="8"/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</sheetData>
  <hyperlinks>
    <hyperlink ref="X2" r:id="rId1"/>
    <hyperlink ref="X3" r:id="rId2"/>
    <hyperlink ref="Y2" r:id="rId3"/>
    <hyperlink ref="Y3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SRM4</cp:lastModifiedBy>
  <dcterms:created xsi:type="dcterms:W3CDTF">2024-06-27T13:22:59Z</dcterms:created>
  <dcterms:modified xsi:type="dcterms:W3CDTF">2024-07-11T13:28:04Z</dcterms:modified>
</cp:coreProperties>
</file>