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MVC FINAL\DiasenseSoftware\excelfolder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1" l="1"/>
  <c r="J2" i="1" l="1"/>
  <c r="AO2" i="1" l="1"/>
  <c r="P2" i="1"/>
  <c r="AC2" i="1" l="1"/>
  <c r="AW2" i="1" l="1"/>
</calcChain>
</file>

<file path=xl/sharedStrings.xml><?xml version="1.0" encoding="utf-8"?>
<sst xmlns="http://schemas.openxmlformats.org/spreadsheetml/2006/main" count="70" uniqueCount="69">
  <si>
    <t>Category</t>
  </si>
  <si>
    <t>Purity</t>
  </si>
  <si>
    <t>GrossWeight</t>
  </si>
  <si>
    <t>14KT</t>
  </si>
  <si>
    <t>IGI</t>
  </si>
  <si>
    <t>StockId</t>
  </si>
  <si>
    <t>ItemName</t>
  </si>
  <si>
    <t>SubCategory</t>
  </si>
  <si>
    <t>Pcs</t>
  </si>
  <si>
    <t>NetWeight</t>
  </si>
  <si>
    <t>MetalType</t>
  </si>
  <si>
    <t>MetalRate</t>
  </si>
  <si>
    <t>MetalAmount</t>
  </si>
  <si>
    <t>Amount</t>
  </si>
  <si>
    <t>DiamondLotNo</t>
  </si>
  <si>
    <t>DiamondType</t>
  </si>
  <si>
    <t>DiamondLab</t>
  </si>
  <si>
    <t>DiamondShape</t>
  </si>
  <si>
    <t>DiamondSize</t>
  </si>
  <si>
    <t>DiamondSieve</t>
  </si>
  <si>
    <t>DiamondColor</t>
  </si>
  <si>
    <t>DiamondClarity</t>
  </si>
  <si>
    <t>DiamondPcs</t>
  </si>
  <si>
    <t>DiamondCarat</t>
  </si>
  <si>
    <t>DiamondPrice</t>
  </si>
  <si>
    <t>DiamondAmount</t>
  </si>
  <si>
    <t>StoneLotNo</t>
  </si>
  <si>
    <t>StoneLab</t>
  </si>
  <si>
    <t>StoneShape</t>
  </si>
  <si>
    <t>StoneColor</t>
  </si>
  <si>
    <t>StoneClarity</t>
  </si>
  <si>
    <t>StonePcs</t>
  </si>
  <si>
    <t>StoneCarat</t>
  </si>
  <si>
    <t>StonePrice</t>
  </si>
  <si>
    <t>StoneAmount</t>
  </si>
  <si>
    <t>MakingCharges</t>
  </si>
  <si>
    <t>SettingCharges</t>
  </si>
  <si>
    <t>HandlingCharges</t>
  </si>
  <si>
    <t>CertificateCharges</t>
  </si>
  <si>
    <t>OtherCharges</t>
  </si>
  <si>
    <t>HallmarkCharges</t>
  </si>
  <si>
    <t>FinalAmount</t>
  </si>
  <si>
    <t>STUDS</t>
  </si>
  <si>
    <t>GOLD</t>
  </si>
  <si>
    <t>Lab Grown Diamond</t>
  </si>
  <si>
    <t>F</t>
  </si>
  <si>
    <t>VS2</t>
  </si>
  <si>
    <t>Color</t>
  </si>
  <si>
    <t>White</t>
  </si>
  <si>
    <t>PureRatio</t>
  </si>
  <si>
    <t>Men</t>
  </si>
  <si>
    <t>MakingType</t>
  </si>
  <si>
    <t>MakingRate</t>
  </si>
  <si>
    <t>Per Gm</t>
  </si>
  <si>
    <t>JewSize</t>
  </si>
  <si>
    <t>JewCert</t>
  </si>
  <si>
    <t>JewCertNo</t>
  </si>
  <si>
    <t>ImagePath</t>
  </si>
  <si>
    <t>VideoPath</t>
  </si>
  <si>
    <t>/JewelleryPhotos/Goldring.jpg</t>
  </si>
  <si>
    <t>/JewelleryPhotos/testing.mp4</t>
  </si>
  <si>
    <t>STD1038</t>
  </si>
  <si>
    <t>P10008</t>
  </si>
  <si>
    <t>BUG</t>
  </si>
  <si>
    <t>0.30 UP</t>
  </si>
  <si>
    <t>Studs 14KT</t>
  </si>
  <si>
    <t>Asking Rate</t>
  </si>
  <si>
    <t>JewCategory</t>
  </si>
  <si>
    <t>Finished 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</si>
</sst>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727E8C"/>
      <name val="Arial"/>
      <family val="2"/>
    </font>
    <font>
      <sz val="11"/>
      <color rgb="FF475F7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"/>
  <sheetViews>
    <sheetView tabSelected="1" topLeftCell="AI1" workbookViewId="0">
      <selection activeCell="AW5" sqref="AW5"/>
    </sheetView>
  </sheetViews>
  <sheetFormatPr defaultRowHeight="15" x14ac:dyDescent="0.25"/>
  <cols>
    <col min="1" max="1" width="8.28515625" bestFit="1" customWidth="1"/>
    <col min="2" max="2" width="10.42578125" bestFit="1" customWidth="1"/>
    <col min="3" max="3" width="8.85546875" bestFit="1" customWidth="1"/>
    <col min="4" max="4" width="12.140625" bestFit="1" customWidth="1"/>
    <col min="5" max="5" width="12.140625" customWidth="1"/>
    <col min="6" max="6" width="19.85546875" bestFit="1" customWidth="1"/>
    <col min="7" max="7" width="12.140625" customWidth="1"/>
    <col min="8" max="8" width="3.85546875" bestFit="1" customWidth="1"/>
    <col min="9" max="9" width="12.28515625" bestFit="1" customWidth="1"/>
    <col min="10" max="10" width="10.7109375" bestFit="1" customWidth="1"/>
    <col min="11" max="11" width="10.42578125" bestFit="1" customWidth="1"/>
    <col min="12" max="12" width="6.42578125" bestFit="1" customWidth="1"/>
    <col min="13" max="13" width="6.28515625" bestFit="1" customWidth="1"/>
    <col min="14" max="14" width="9.7109375" bestFit="1" customWidth="1"/>
    <col min="15" max="15" width="10.140625" bestFit="1" customWidth="1"/>
    <col min="16" max="16" width="13.42578125" bestFit="1" customWidth="1"/>
    <col min="17" max="17" width="8.140625" bestFit="1" customWidth="1"/>
    <col min="18" max="18" width="14.42578125" bestFit="1" customWidth="1"/>
    <col min="19" max="19" width="19" bestFit="1" customWidth="1"/>
    <col min="20" max="20" width="12" bestFit="1" customWidth="1"/>
    <col min="21" max="21" width="14.5703125" bestFit="1" customWidth="1"/>
    <col min="22" max="22" width="12.5703125" bestFit="1" customWidth="1"/>
    <col min="23" max="23" width="14" bestFit="1" customWidth="1"/>
    <col min="24" max="24" width="13.85546875" bestFit="1" customWidth="1"/>
    <col min="25" max="25" width="14.85546875" bestFit="1" customWidth="1"/>
    <col min="26" max="26" width="11.85546875" bestFit="1" customWidth="1"/>
    <col min="27" max="27" width="13.7109375" bestFit="1" customWidth="1"/>
    <col min="28" max="28" width="13.5703125" bestFit="1" customWidth="1"/>
    <col min="29" max="29" width="16.28515625" bestFit="1" customWidth="1"/>
    <col min="30" max="30" width="11.42578125" bestFit="1" customWidth="1"/>
    <col min="32" max="32" width="11.5703125" bestFit="1" customWidth="1"/>
    <col min="33" max="33" width="10.85546875" bestFit="1" customWidth="1"/>
    <col min="34" max="34" width="11.85546875" bestFit="1" customWidth="1"/>
    <col min="35" max="35" width="9" bestFit="1" customWidth="1"/>
    <col min="36" max="36" width="10.7109375" bestFit="1" customWidth="1"/>
    <col min="37" max="37" width="10.5703125" bestFit="1" customWidth="1"/>
    <col min="38" max="38" width="13.42578125" bestFit="1" customWidth="1"/>
    <col min="39" max="39" width="11.7109375" bestFit="1" customWidth="1"/>
    <col min="40" max="40" width="11.42578125" bestFit="1" customWidth="1"/>
    <col min="41" max="41" width="14.5703125" bestFit="1" customWidth="1"/>
    <col min="42" max="42" width="14.42578125" bestFit="1" customWidth="1"/>
    <col min="43" max="43" width="16" bestFit="1" customWidth="1"/>
    <col min="44" max="44" width="17.5703125" bestFit="1" customWidth="1"/>
    <col min="45" max="45" width="13.28515625" bestFit="1" customWidth="1"/>
    <col min="46" max="46" width="16" bestFit="1" customWidth="1"/>
    <col min="47" max="47" width="28.85546875" bestFit="1" customWidth="1"/>
    <col min="48" max="48" width="28.5703125" bestFit="1" customWidth="1"/>
    <col min="49" max="49" width="12.42578125" bestFit="1" customWidth="1"/>
    <col min="50" max="50" width="11.28515625" bestFit="1" customWidth="1"/>
    <col min="51" max="51" width="17.85546875" bestFit="1" customWidth="1"/>
  </cols>
  <sheetData>
    <row r="1" spans="1:51" x14ac:dyDescent="0.25">
      <c r="A1" t="s">
        <v>5</v>
      </c>
      <c r="B1" t="s">
        <v>6</v>
      </c>
      <c r="C1" t="s">
        <v>0</v>
      </c>
      <c r="D1" t="s">
        <v>7</v>
      </c>
      <c r="E1" t="s">
        <v>54</v>
      </c>
      <c r="F1" s="2" t="s">
        <v>55</v>
      </c>
      <c r="G1" s="2" t="s">
        <v>56</v>
      </c>
      <c r="H1" t="s">
        <v>8</v>
      </c>
      <c r="I1" t="s">
        <v>2</v>
      </c>
      <c r="J1" t="s">
        <v>9</v>
      </c>
      <c r="K1" t="s">
        <v>10</v>
      </c>
      <c r="L1" t="s">
        <v>47</v>
      </c>
      <c r="M1" t="s">
        <v>1</v>
      </c>
      <c r="N1" t="s">
        <v>49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51</v>
      </c>
      <c r="AN1" t="s">
        <v>52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57</v>
      </c>
      <c r="AV1" t="s">
        <v>58</v>
      </c>
      <c r="AW1" t="s">
        <v>41</v>
      </c>
      <c r="AX1" t="s">
        <v>66</v>
      </c>
      <c r="AY1" t="s">
        <v>67</v>
      </c>
    </row>
    <row r="2" spans="1:51" x14ac:dyDescent="0.25">
      <c r="A2" t="s">
        <v>61</v>
      </c>
      <c r="B2" t="s">
        <v>65</v>
      </c>
      <c r="C2" t="s">
        <v>42</v>
      </c>
      <c r="D2" t="s">
        <v>50</v>
      </c>
      <c r="E2">
        <v>5</v>
      </c>
      <c r="F2" t="s">
        <v>4</v>
      </c>
      <c r="G2">
        <v>9966332211</v>
      </c>
      <c r="H2">
        <v>1</v>
      </c>
      <c r="I2">
        <v>9.8699999999999992</v>
      </c>
      <c r="J2">
        <f>ABS(AA2/5-I2)</f>
        <v>8.7039999999999988</v>
      </c>
      <c r="K2" t="s">
        <v>43</v>
      </c>
      <c r="L2" t="s">
        <v>48</v>
      </c>
      <c r="M2" t="s">
        <v>3</v>
      </c>
      <c r="N2">
        <v>0.58299999999999996</v>
      </c>
      <c r="O2">
        <v>175</v>
      </c>
      <c r="P2">
        <f>O2*J2*N2</f>
        <v>888.02559999999983</v>
      </c>
      <c r="Q2">
        <f>H2*AX2</f>
        <v>2500</v>
      </c>
      <c r="R2" t="s">
        <v>62</v>
      </c>
      <c r="S2" t="s">
        <v>44</v>
      </c>
      <c r="T2" t="s">
        <v>4</v>
      </c>
      <c r="U2" t="s">
        <v>63</v>
      </c>
      <c r="V2" t="s">
        <v>64</v>
      </c>
      <c r="X2" t="s">
        <v>45</v>
      </c>
      <c r="Y2" t="s">
        <v>46</v>
      </c>
      <c r="Z2">
        <v>1</v>
      </c>
      <c r="AA2" s="1">
        <v>5.83</v>
      </c>
      <c r="AB2">
        <v>95</v>
      </c>
      <c r="AC2">
        <f>AA2*AB2</f>
        <v>553.85</v>
      </c>
      <c r="AM2" t="s">
        <v>53</v>
      </c>
      <c r="AN2">
        <v>16.100000000000001</v>
      </c>
      <c r="AO2">
        <f>AN2*I2</f>
        <v>158.90700000000001</v>
      </c>
      <c r="AP2">
        <v>0</v>
      </c>
      <c r="AQ2">
        <v>0</v>
      </c>
      <c r="AR2">
        <v>0</v>
      </c>
      <c r="AS2">
        <v>0</v>
      </c>
      <c r="AT2">
        <v>0</v>
      </c>
      <c r="AU2" t="s">
        <v>59</v>
      </c>
      <c r="AV2" t="s">
        <v>60</v>
      </c>
      <c r="AW2">
        <f>P2+AC2+AO2+AP2+AQ2+AR2+AS2+AT2</f>
        <v>1600.7825999999998</v>
      </c>
      <c r="AX2">
        <v>2500</v>
      </c>
      <c r="AY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MYPC</cp:lastModifiedBy>
  <dcterms:created xsi:type="dcterms:W3CDTF">2025-08-30T05:46:41Z</dcterms:created>
  <dcterms:modified xsi:type="dcterms:W3CDTF">2026-05-16T07:56:55Z</dcterms:modified>
</cp:coreProperties>
</file>