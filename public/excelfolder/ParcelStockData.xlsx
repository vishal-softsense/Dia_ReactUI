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enil_Github_FinalProject\1.MVC FINAL_06-04-2026\1.MVC FINAL\DiasenseSoftware\excelfolder\"/>
    </mc:Choice>
  </mc:AlternateContent>
  <bookViews>
    <workbookView xWindow="0" yWindow="0" windowWidth="20400" windowHeight="76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3" i="1"/>
  <c r="B2" i="1"/>
  <c r="V4" i="1" l="1"/>
  <c r="P4" i="1"/>
  <c r="T4" i="1" s="1"/>
  <c r="N4" i="1"/>
  <c r="V3" i="1"/>
  <c r="P3" i="1"/>
  <c r="T3" i="1" s="1"/>
  <c r="N3" i="1"/>
  <c r="V2" i="1"/>
  <c r="T2" i="1"/>
  <c r="R2" i="1"/>
  <c r="P2" i="1"/>
  <c r="N2" i="1"/>
  <c r="R3" i="1" l="1"/>
  <c r="R4" i="1"/>
</calcChain>
</file>

<file path=xl/sharedStrings.xml><?xml version="1.0" encoding="utf-8"?>
<sst xmlns="http://schemas.openxmlformats.org/spreadsheetml/2006/main" count="40" uniqueCount="34">
  <si>
    <t>LotNo</t>
  </si>
  <si>
    <t>ItemName</t>
  </si>
  <si>
    <t>Category</t>
  </si>
  <si>
    <t>ProductType</t>
  </si>
  <si>
    <t>ItemGroupId</t>
  </si>
  <si>
    <t>ShapeId</t>
  </si>
  <si>
    <t>SieveId</t>
  </si>
  <si>
    <t>SizeId</t>
  </si>
  <si>
    <t>ColorId</t>
  </si>
  <si>
    <t>ClarityId</t>
  </si>
  <si>
    <t>Pcs</t>
  </si>
  <si>
    <t>Opening Carat</t>
  </si>
  <si>
    <t>AskingRate</t>
  </si>
  <si>
    <t>AskingAmount</t>
  </si>
  <si>
    <t>PurchaseRate</t>
  </si>
  <si>
    <t>PurchaseAmount</t>
  </si>
  <si>
    <t>MasterCurrencyRate</t>
  </si>
  <si>
    <t>MasterCurrencyAmount</t>
  </si>
  <si>
    <t>StockCurrencyRate</t>
  </si>
  <si>
    <t>StockCurrencyAmount</t>
  </si>
  <si>
    <t>ActualRate</t>
  </si>
  <si>
    <t>ActualAmount</t>
  </si>
  <si>
    <t>P10001</t>
  </si>
  <si>
    <t>RD</t>
  </si>
  <si>
    <t>7.00 MM</t>
  </si>
  <si>
    <t>+6.5</t>
  </si>
  <si>
    <t>WH</t>
  </si>
  <si>
    <t>Coll</t>
  </si>
  <si>
    <t>P10002</t>
  </si>
  <si>
    <t>BUG</t>
  </si>
  <si>
    <t>2.25 MM</t>
  </si>
  <si>
    <t>2.00 MM</t>
  </si>
  <si>
    <t>CA</t>
  </si>
  <si>
    <t>P10003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</si>
</sst>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workbookViewId="0">
      <selection activeCell="F11" sqref="F11"/>
    </sheetView>
  </sheetViews>
  <sheetFormatPr defaultRowHeight="15" x14ac:dyDescent="0.25"/>
  <cols>
    <col min="1" max="1" width="7.140625" bestFit="1" customWidth="1"/>
    <col min="2" max="2" width="19.28515625" bestFit="1" customWidth="1"/>
    <col min="3" max="3" width="8.85546875" bestFit="1" customWidth="1"/>
    <col min="4" max="4" width="12.140625" bestFit="1" customWidth="1"/>
    <col min="5" max="5" width="12.28515625" bestFit="1" customWidth="1"/>
    <col min="6" max="6" width="8.140625" bestFit="1" customWidth="1"/>
    <col min="7" max="8" width="8.42578125" bestFit="1" customWidth="1"/>
    <col min="9" max="9" width="7.42578125" bestFit="1" customWidth="1"/>
    <col min="10" max="10" width="8.42578125" bestFit="1" customWidth="1"/>
    <col min="11" max="11" width="4" bestFit="1" customWidth="1"/>
    <col min="12" max="12" width="13.7109375" bestFit="1" customWidth="1"/>
    <col min="13" max="13" width="10.85546875" bestFit="1" customWidth="1"/>
    <col min="14" max="14" width="14.140625" bestFit="1" customWidth="1"/>
    <col min="15" max="15" width="13.140625" bestFit="1" customWidth="1"/>
    <col min="16" max="16" width="16.28515625" bestFit="1" customWidth="1"/>
    <col min="17" max="17" width="19.28515625" bestFit="1" customWidth="1"/>
    <col min="18" max="18" width="22.5703125" bestFit="1" customWidth="1"/>
    <col min="19" max="19" width="17.85546875" bestFit="1" customWidth="1"/>
    <col min="20" max="20" width="21" bestFit="1" customWidth="1"/>
    <col min="21" max="21" width="10.5703125" bestFit="1" customWidth="1"/>
    <col min="22" max="22" width="13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tr">
        <f>F2 &amp; " " &amp; I2 &amp; " " &amp; J2 &amp; " " &amp; H2</f>
        <v>RD WH Coll +6.5</v>
      </c>
      <c r="F2" t="s">
        <v>23</v>
      </c>
      <c r="G2" s="1" t="s">
        <v>24</v>
      </c>
      <c r="H2" s="1" t="s">
        <v>25</v>
      </c>
      <c r="I2" t="s">
        <v>26</v>
      </c>
      <c r="J2" t="s">
        <v>27</v>
      </c>
      <c r="K2">
        <v>101</v>
      </c>
      <c r="L2">
        <v>15.25</v>
      </c>
      <c r="M2">
        <v>750</v>
      </c>
      <c r="N2">
        <f>L2*M2</f>
        <v>11437.5</v>
      </c>
      <c r="O2">
        <v>700</v>
      </c>
      <c r="P2">
        <f>L2*O2</f>
        <v>10675</v>
      </c>
      <c r="Q2">
        <v>82.514499999999998</v>
      </c>
      <c r="R2">
        <f>P2*Q2</f>
        <v>880842.28749999998</v>
      </c>
      <c r="S2">
        <v>1</v>
      </c>
      <c r="T2">
        <f>P2</f>
        <v>10675</v>
      </c>
      <c r="U2">
        <v>725</v>
      </c>
      <c r="V2">
        <f>U2*L2</f>
        <v>11056.25</v>
      </c>
    </row>
    <row r="3" spans="1:22" x14ac:dyDescent="0.25">
      <c r="A3" t="s">
        <v>28</v>
      </c>
      <c r="B3" t="str">
        <f t="shared" ref="B3:B4" si="0">F3 &amp; " " &amp; I3 &amp; " " &amp; J3 &amp; " " &amp; H3</f>
        <v>BUG WH CA 2.00 MM</v>
      </c>
      <c r="F3" t="s">
        <v>29</v>
      </c>
      <c r="G3" s="1" t="s">
        <v>30</v>
      </c>
      <c r="H3" s="1" t="s">
        <v>31</v>
      </c>
      <c r="I3" t="s">
        <v>26</v>
      </c>
      <c r="J3" t="s">
        <v>32</v>
      </c>
      <c r="K3">
        <v>25</v>
      </c>
      <c r="L3">
        <v>5.24</v>
      </c>
      <c r="M3">
        <v>500</v>
      </c>
      <c r="N3">
        <f>L3*M3</f>
        <v>2620</v>
      </c>
      <c r="O3">
        <v>450</v>
      </c>
      <c r="P3">
        <f>L3*O3</f>
        <v>2358</v>
      </c>
      <c r="Q3">
        <v>81.5351</v>
      </c>
      <c r="R3">
        <f>P3*Q3</f>
        <v>192259.76579999999</v>
      </c>
      <c r="S3">
        <v>1</v>
      </c>
      <c r="T3">
        <f>P3</f>
        <v>2358</v>
      </c>
      <c r="U3">
        <v>525</v>
      </c>
      <c r="V3">
        <f>U3*L3</f>
        <v>2751</v>
      </c>
    </row>
    <row r="4" spans="1:22" x14ac:dyDescent="0.25">
      <c r="A4" t="s">
        <v>33</v>
      </c>
      <c r="B4" t="str">
        <f t="shared" si="0"/>
        <v>BUG WH CA 2.00 MM</v>
      </c>
      <c r="F4" t="s">
        <v>29</v>
      </c>
      <c r="G4" s="1" t="s">
        <v>30</v>
      </c>
      <c r="H4" s="1" t="s">
        <v>31</v>
      </c>
      <c r="I4" t="s">
        <v>26</v>
      </c>
      <c r="J4" t="s">
        <v>32</v>
      </c>
      <c r="K4">
        <v>36</v>
      </c>
      <c r="L4">
        <v>7.25</v>
      </c>
      <c r="M4">
        <v>500</v>
      </c>
      <c r="N4">
        <f>L4*M4</f>
        <v>3625</v>
      </c>
      <c r="O4">
        <v>450</v>
      </c>
      <c r="P4">
        <f>L4*O4</f>
        <v>3262.5</v>
      </c>
      <c r="Q4">
        <v>81.5351</v>
      </c>
      <c r="R4">
        <f>P4*Q4</f>
        <v>266008.26374999998</v>
      </c>
      <c r="S4">
        <v>1</v>
      </c>
      <c r="T4">
        <f>P4</f>
        <v>3262.5</v>
      </c>
      <c r="U4">
        <v>525</v>
      </c>
      <c r="V4">
        <f>U4*L4</f>
        <v>3806.25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SRM4</dc:creator>
  <cp:lastModifiedBy>Admin</cp:lastModifiedBy>
  <dcterms:created xsi:type="dcterms:W3CDTF">2024-06-27T09:48:16Z</dcterms:created>
  <dcterms:modified xsi:type="dcterms:W3CDTF">2026-04-07T07:31:51Z</dcterms:modified>
</cp:coreProperties>
</file>