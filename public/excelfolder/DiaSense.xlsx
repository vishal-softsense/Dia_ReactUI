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MVC FINAL\DiasenseSoftware\excelfolder\"/>
    </mc:Choice>
  </mc:AlternateContent>
  <bookViews>
    <workbookView xWindow="-120" yWindow="-120" windowWidth="20730" windowHeight="117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A3" i="1" l="1"/>
  <c r="CA4" i="1"/>
  <c r="CA5" i="1"/>
  <c r="CA6" i="1"/>
  <c r="CA7" i="1"/>
  <c r="BZ3" i="1"/>
  <c r="BZ4" i="1"/>
  <c r="BZ5" i="1"/>
  <c r="BZ6" i="1"/>
  <c r="BZ7" i="1"/>
  <c r="CA2" i="1"/>
  <c r="BZ2" i="1"/>
  <c r="L7" i="1" l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<sst xmlns="http://schemas.openxmlformats.org/spreadsheetml/2006/main" count="168" uniqueCount="121">
  <si>
    <t>Kapan/Inv No</t>
  </si>
  <si>
    <t>Lot No</t>
  </si>
  <si>
    <t>Shape</t>
  </si>
  <si>
    <t>Size</t>
  </si>
  <si>
    <t>Color</t>
  </si>
  <si>
    <t>Clarity</t>
  </si>
  <si>
    <t>Pcs</t>
  </si>
  <si>
    <t>Discount</t>
  </si>
  <si>
    <t>PurPrice</t>
  </si>
  <si>
    <t>PurAmount</t>
  </si>
  <si>
    <t>Cut</t>
  </si>
  <si>
    <t>Polish</t>
  </si>
  <si>
    <t>Symmetry</t>
  </si>
  <si>
    <t>FL</t>
  </si>
  <si>
    <t>L:W %</t>
  </si>
  <si>
    <t>L</t>
  </si>
  <si>
    <t>W</t>
  </si>
  <si>
    <t>D</t>
  </si>
  <si>
    <t>TotDep</t>
  </si>
  <si>
    <t>Table</t>
  </si>
  <si>
    <t>Culet</t>
  </si>
  <si>
    <t>G.Min</t>
  </si>
  <si>
    <t>G.Max</t>
  </si>
  <si>
    <t>Min</t>
  </si>
  <si>
    <t>Max</t>
  </si>
  <si>
    <t>GirdlePer</t>
  </si>
  <si>
    <t>Brown</t>
  </si>
  <si>
    <t>Milky</t>
  </si>
  <si>
    <t>H&amp;A</t>
  </si>
  <si>
    <t>Natts</t>
  </si>
  <si>
    <t>EyeClean</t>
  </si>
  <si>
    <t>OiT</t>
  </si>
  <si>
    <t>OiG</t>
  </si>
  <si>
    <t>OiC</t>
  </si>
  <si>
    <t>OiP</t>
  </si>
  <si>
    <t>TabInc</t>
  </si>
  <si>
    <t>Inclusion Pattern</t>
  </si>
  <si>
    <t>Cert</t>
  </si>
  <si>
    <t>CertificateNo</t>
  </si>
  <si>
    <t>Inscription Text</t>
  </si>
  <si>
    <t>CH</t>
  </si>
  <si>
    <t>CA</t>
  </si>
  <si>
    <t>PA</t>
  </si>
  <si>
    <t>PH</t>
  </si>
  <si>
    <t>StrLn</t>
  </si>
  <si>
    <t>Lr_Half</t>
  </si>
  <si>
    <t>Luster</t>
  </si>
  <si>
    <t>KeyToSymbols</t>
  </si>
  <si>
    <t>LabComments</t>
  </si>
  <si>
    <t>ReportDate</t>
  </si>
  <si>
    <t>MfgComments</t>
  </si>
  <si>
    <t>MemberRemarks</t>
  </si>
  <si>
    <t>IGICut</t>
  </si>
  <si>
    <t>HRDCut</t>
  </si>
  <si>
    <t>AskingBack</t>
  </si>
  <si>
    <t>ActualBack</t>
  </si>
  <si>
    <t>AskingRate</t>
  </si>
  <si>
    <t>ActualRate</t>
  </si>
  <si>
    <t>Green</t>
  </si>
  <si>
    <t>FLColor</t>
  </si>
  <si>
    <t>CuletCondition</t>
  </si>
  <si>
    <t>Shade</t>
  </si>
  <si>
    <t>CrownInclusion</t>
  </si>
  <si>
    <t>BlackInTable</t>
  </si>
  <si>
    <t>BlackInSide</t>
  </si>
  <si>
    <t>FancyColor</t>
  </si>
  <si>
    <t>FancyColorIntensity</t>
  </si>
  <si>
    <t>FancyColorOvertone</t>
  </si>
  <si>
    <t>Proportion</t>
  </si>
  <si>
    <t>RMK</t>
  </si>
  <si>
    <t>H8885859</t>
  </si>
  <si>
    <t>E</t>
  </si>
  <si>
    <t>SI2</t>
  </si>
  <si>
    <t>GD</t>
  </si>
  <si>
    <t>STRONG BLUE</t>
  </si>
  <si>
    <t>CGL</t>
  </si>
  <si>
    <t>NATURAL</t>
  </si>
  <si>
    <t xml:space="preserve">POL=GD SYM=FR </t>
  </si>
  <si>
    <t>O2000929</t>
  </si>
  <si>
    <t>I</t>
  </si>
  <si>
    <t>FR</t>
  </si>
  <si>
    <t>FAINT</t>
  </si>
  <si>
    <t xml:space="preserve">POL=FR SYM=FR </t>
  </si>
  <si>
    <t>H9124469</t>
  </si>
  <si>
    <t>MEDIUM BLUE</t>
  </si>
  <si>
    <t>H8945182</t>
  </si>
  <si>
    <t>F</t>
  </si>
  <si>
    <t>EX</t>
  </si>
  <si>
    <t xml:space="preserve">POL=EX SYM=VG </t>
  </si>
  <si>
    <t>O2021585</t>
  </si>
  <si>
    <t>J</t>
  </si>
  <si>
    <t>SI1</t>
  </si>
  <si>
    <t>NONE</t>
  </si>
  <si>
    <t xml:space="preserve">POL=GD SYM=GD X </t>
  </si>
  <si>
    <t>O2021584</t>
  </si>
  <si>
    <t>K</t>
  </si>
  <si>
    <t>FAIR</t>
    <phoneticPr fontId="2"/>
  </si>
  <si>
    <t xml:space="preserve">FAIR </t>
    <phoneticPr fontId="2"/>
  </si>
  <si>
    <t>STONEID</t>
  </si>
  <si>
    <t>Carats</t>
  </si>
  <si>
    <t>ItemGroup</t>
  </si>
  <si>
    <t>Treatment</t>
  </si>
  <si>
    <t>RFID</t>
  </si>
  <si>
    <t>GirdleCondition</t>
  </si>
  <si>
    <t>M1006</t>
  </si>
  <si>
    <t>M1007</t>
  </si>
  <si>
    <t>M1008</t>
  </si>
  <si>
    <t>M1009</t>
  </si>
  <si>
    <t>M1010</t>
  </si>
  <si>
    <t>M1011</t>
  </si>
  <si>
    <t>GD</t>
    <phoneticPr fontId="2"/>
  </si>
  <si>
    <t>VG</t>
    <phoneticPr fontId="2"/>
  </si>
  <si>
    <t>RD</t>
  </si>
  <si>
    <t>PR</t>
  </si>
  <si>
    <t>MRP</t>
  </si>
  <si>
    <t>ImagePath</t>
  </si>
  <si>
    <t>VideoPath</t>
  </si>
  <si>
    <t>PagePath</t>
  </si>
  <si>
    <t>HTTPS://WWW.Diasense.in</t>
  </si>
  <si>
    <t>CountryOfOrigin</t>
  </si>
  <si>
    <t>CountryOfMfg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</si>
</sst>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28"/>
    </font>
    <font>
      <b/>
      <sz val="11"/>
      <color theme="1"/>
      <name val="Calibri"/>
      <family val="2"/>
    </font>
    <font>
      <sz val="6"/>
      <name val="Calibri"/>
      <family val="2"/>
      <charset val="128"/>
    </font>
    <font>
      <sz val="11"/>
      <color theme="1"/>
      <name val="Calibri"/>
      <family val="2"/>
      <charset val="128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2" fontId="0" fillId="0" borderId="0" xfId="0" applyNumberFormat="1">
      <alignment vertical="center"/>
    </xf>
    <xf numFmtId="38" fontId="1" fillId="0" borderId="0" xfId="1" applyFont="1">
      <alignment vertical="center"/>
    </xf>
    <xf numFmtId="38" fontId="0" fillId="0" borderId="0" xfId="1" applyFont="1">
      <alignment vertical="center"/>
    </xf>
    <xf numFmtId="38" fontId="1" fillId="0" borderId="0" xfId="1" applyFont="1" applyFill="1">
      <alignment vertical="center"/>
    </xf>
    <xf numFmtId="38" fontId="0" fillId="0" borderId="0" xfId="1" applyFont="1" applyFill="1">
      <alignment vertical="center"/>
    </xf>
    <xf numFmtId="0" fontId="4" fillId="0" borderId="0" xfId="0" applyFont="1" applyAlignment="1"/>
    <xf numFmtId="0" fontId="5" fillId="0" borderId="0" xfId="2" applyAlignment="1" applyProtection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"/>
  <sheetViews>
    <sheetView tabSelected="1" topLeftCell="BR1" zoomScaleNormal="100" workbookViewId="0">
      <selection activeCell="CA16" sqref="CA16"/>
    </sheetView>
  </sheetViews>
  <sheetFormatPr defaultRowHeight="15"/>
  <cols>
    <col min="1" max="1" width="14.140625" bestFit="1" customWidth="1"/>
    <col min="2" max="2" width="10.140625" bestFit="1" customWidth="1"/>
    <col min="3" max="3" width="14.140625" bestFit="1" customWidth="1"/>
    <col min="4" max="4" width="5.28515625" bestFit="1" customWidth="1"/>
    <col min="5" max="5" width="25.42578125" customWidth="1"/>
    <col min="6" max="6" width="7.42578125" bestFit="1" customWidth="1"/>
    <col min="7" max="7" width="7.140625" bestFit="1" customWidth="1"/>
    <col min="8" max="8" width="4.5703125" bestFit="1" customWidth="1"/>
    <col min="9" max="9" width="6" bestFit="1" customWidth="1"/>
    <col min="10" max="10" width="9.42578125" bestFit="1" customWidth="1"/>
    <col min="11" max="11" width="8.85546875" style="5"/>
    <col min="12" max="12" width="12" style="7" bestFit="1" customWidth="1"/>
    <col min="13" max="13" width="4.7109375" bestFit="1" customWidth="1"/>
    <col min="14" max="14" width="7.140625" bestFit="1" customWidth="1"/>
    <col min="15" max="15" width="10.5703125" bestFit="1" customWidth="1"/>
    <col min="16" max="16" width="14.42578125" bestFit="1" customWidth="1"/>
    <col min="17" max="17" width="7.140625" bestFit="1" customWidth="1"/>
    <col min="18" max="20" width="5.7109375" bestFit="1" customWidth="1"/>
    <col min="21" max="21" width="8.140625" bestFit="1" customWidth="1"/>
    <col min="22" max="22" width="6.5703125" bestFit="1" customWidth="1"/>
    <col min="23" max="23" width="6.42578125" bestFit="1" customWidth="1"/>
    <col min="24" max="24" width="7.28515625" bestFit="1" customWidth="1"/>
    <col min="25" max="25" width="7.5703125" bestFit="1" customWidth="1"/>
    <col min="26" max="26" width="5.28515625" bestFit="1" customWidth="1"/>
    <col min="27" max="27" width="5.5703125" bestFit="1" customWidth="1"/>
    <col min="28" max="28" width="10.28515625" style="3" bestFit="1" customWidth="1"/>
    <col min="29" max="29" width="7.42578125" bestFit="1" customWidth="1"/>
    <col min="30" max="30" width="6.7109375" bestFit="1" customWidth="1"/>
    <col min="31" max="31" width="5.85546875" bestFit="1" customWidth="1"/>
    <col min="32" max="32" width="6.42578125" bestFit="1" customWidth="1"/>
    <col min="33" max="33" width="9.85546875" bestFit="1" customWidth="1"/>
    <col min="34" max="34" width="4.7109375" bestFit="1" customWidth="1"/>
    <col min="35" max="35" width="5.140625" bestFit="1" customWidth="1"/>
    <col min="36" max="37" width="4.85546875" bestFit="1" customWidth="1"/>
    <col min="38" max="38" width="7.42578125" bestFit="1" customWidth="1"/>
    <col min="39" max="39" width="17.5703125" bestFit="1" customWidth="1"/>
    <col min="40" max="40" width="5.42578125" bestFit="1" customWidth="1"/>
    <col min="41" max="41" width="14" bestFit="1" customWidth="1"/>
    <col min="42" max="42" width="16.140625" bestFit="1" customWidth="1"/>
    <col min="43" max="43" width="4.140625" style="3" bestFit="1" customWidth="1"/>
    <col min="44" max="45" width="4.140625" bestFit="1" customWidth="1"/>
    <col min="46" max="46" width="4.140625" style="3" bestFit="1" customWidth="1"/>
    <col min="47" max="47" width="6.140625" style="3" bestFit="1" customWidth="1"/>
    <col min="48" max="48" width="7.85546875" style="3" bestFit="1" customWidth="1"/>
    <col min="49" max="49" width="7.140625" bestFit="1" customWidth="1"/>
    <col min="50" max="50" width="15.140625" bestFit="1" customWidth="1"/>
    <col min="51" max="51" width="14.85546875" bestFit="1" customWidth="1"/>
    <col min="52" max="52" width="12" bestFit="1" customWidth="1"/>
    <col min="53" max="53" width="15.42578125" bestFit="1" customWidth="1"/>
    <col min="54" max="54" width="17.85546875" bestFit="1" customWidth="1"/>
    <col min="55" max="55" width="7.28515625" bestFit="1" customWidth="1"/>
    <col min="56" max="56" width="9.7109375" bestFit="1" customWidth="1"/>
    <col min="57" max="57" width="8.85546875" bestFit="1" customWidth="1"/>
    <col min="58" max="58" width="16.140625" bestFit="1" customWidth="1"/>
    <col min="59" max="59" width="11.7109375" bestFit="1" customWidth="1"/>
    <col min="60" max="60" width="11.42578125" bestFit="1" customWidth="1"/>
    <col min="61" max="61" width="11.7109375" bestFit="1" customWidth="1"/>
    <col min="62" max="62" width="11.42578125" bestFit="1" customWidth="1"/>
    <col min="63" max="63" width="7.28515625" bestFit="1" customWidth="1"/>
    <col min="64" max="64" width="8.28515625" bestFit="1" customWidth="1"/>
    <col min="65" max="65" width="15.7109375" bestFit="1" customWidth="1"/>
    <col min="66" max="66" width="7.140625" bestFit="1" customWidth="1"/>
    <col min="67" max="67" width="16.140625" bestFit="1" customWidth="1"/>
    <col min="68" max="68" width="13.140625" bestFit="1" customWidth="1"/>
    <col min="69" max="69" width="12" bestFit="1" customWidth="1"/>
    <col min="70" max="70" width="11.5703125" bestFit="1" customWidth="1"/>
    <col min="71" max="71" width="20.42578125" bestFit="1" customWidth="1"/>
    <col min="72" max="72" width="21" bestFit="1" customWidth="1"/>
    <col min="73" max="73" width="11.42578125" bestFit="1" customWidth="1"/>
    <col min="74" max="74" width="19.42578125" bestFit="1" customWidth="1"/>
    <col min="75" max="75" width="11.5703125" bestFit="1" customWidth="1"/>
    <col min="76" max="76" width="11.28515625" bestFit="1" customWidth="1"/>
    <col min="78" max="78" width="41.42578125" bestFit="1" customWidth="1"/>
    <col min="79" max="79" width="48.140625" bestFit="1" customWidth="1"/>
    <col min="80" max="80" width="25.7109375" bestFit="1" customWidth="1"/>
    <col min="81" max="81" width="15.7109375" bestFit="1" customWidth="1"/>
    <col min="82" max="82" width="13.85546875" bestFit="1" customWidth="1"/>
  </cols>
  <sheetData>
    <row r="1" spans="1:82" s="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1" t="s">
        <v>6</v>
      </c>
      <c r="I1" s="1" t="s">
        <v>114</v>
      </c>
      <c r="J1" s="1" t="s">
        <v>7</v>
      </c>
      <c r="K1" s="4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2" t="s">
        <v>40</v>
      </c>
      <c r="AR1" s="1" t="s">
        <v>41</v>
      </c>
      <c r="AS1" s="1" t="s">
        <v>42</v>
      </c>
      <c r="AT1" s="2" t="s">
        <v>43</v>
      </c>
      <c r="AU1" s="2" t="s">
        <v>44</v>
      </c>
      <c r="AV1" s="2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98</v>
      </c>
      <c r="BF1" s="1" t="s">
        <v>103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8" t="s">
        <v>69</v>
      </c>
      <c r="BW1" s="8" t="s">
        <v>100</v>
      </c>
      <c r="BX1" s="8" t="s">
        <v>101</v>
      </c>
      <c r="BY1" s="8" t="s">
        <v>102</v>
      </c>
      <c r="BZ1" s="1" t="s">
        <v>115</v>
      </c>
      <c r="CA1" s="1" t="s">
        <v>116</v>
      </c>
      <c r="CB1" s="1" t="s">
        <v>117</v>
      </c>
      <c r="CC1" s="1" t="s">
        <v>119</v>
      </c>
      <c r="CD1" s="1" t="s">
        <v>120</v>
      </c>
    </row>
    <row r="2" spans="1:82">
      <c r="B2" t="s">
        <v>70</v>
      </c>
      <c r="C2" t="s">
        <v>112</v>
      </c>
      <c r="E2" t="s">
        <v>71</v>
      </c>
      <c r="F2" t="s">
        <v>72</v>
      </c>
      <c r="G2">
        <v>0.20599999999999999</v>
      </c>
      <c r="H2">
        <v>1</v>
      </c>
      <c r="I2">
        <v>0</v>
      </c>
      <c r="J2">
        <v>-30</v>
      </c>
      <c r="K2" s="5">
        <v>0</v>
      </c>
      <c r="L2" s="7">
        <f t="shared" ref="L2:L7" si="0">K2*G2</f>
        <v>0</v>
      </c>
      <c r="M2" t="s">
        <v>73</v>
      </c>
      <c r="N2" t="s">
        <v>110</v>
      </c>
      <c r="O2" t="s">
        <v>96</v>
      </c>
      <c r="P2" t="s">
        <v>74</v>
      </c>
      <c r="R2">
        <v>3.93</v>
      </c>
      <c r="S2">
        <v>4</v>
      </c>
      <c r="T2">
        <v>2.2200000000000002</v>
      </c>
      <c r="AN2" t="s">
        <v>75</v>
      </c>
      <c r="AO2" t="s">
        <v>70</v>
      </c>
      <c r="AY2" t="s">
        <v>76</v>
      </c>
      <c r="BE2" t="s">
        <v>104</v>
      </c>
      <c r="BF2" s="1"/>
      <c r="BU2" t="s">
        <v>73</v>
      </c>
      <c r="BV2" t="s">
        <v>77</v>
      </c>
      <c r="BZ2" s="9" t="str">
        <f>"../CRreport/logos/Diamond.jpg?lotid="&amp;BE2</f>
        <v>../CRreport/logos/Diamond.jpg?lotid=M1006</v>
      </c>
      <c r="CA2" s="9" t="str">
        <f>"../CRreport/logos/DiamondVideo.mp4?lotid="&amp;BE2</f>
        <v>../CRreport/logos/DiamondVideo.mp4?lotid=M1006</v>
      </c>
      <c r="CB2" s="9" t="s">
        <v>118</v>
      </c>
    </row>
    <row r="3" spans="1:82">
      <c r="B3" t="s">
        <v>78</v>
      </c>
      <c r="C3" t="s">
        <v>112</v>
      </c>
      <c r="E3" t="s">
        <v>79</v>
      </c>
      <c r="F3" t="s">
        <v>72</v>
      </c>
      <c r="G3">
        <v>0.311</v>
      </c>
      <c r="H3">
        <v>1</v>
      </c>
      <c r="I3">
        <v>0</v>
      </c>
      <c r="J3">
        <v>-31</v>
      </c>
      <c r="K3" s="5">
        <v>0</v>
      </c>
      <c r="L3" s="7">
        <f t="shared" si="0"/>
        <v>0</v>
      </c>
      <c r="M3" t="s">
        <v>80</v>
      </c>
      <c r="N3" t="s">
        <v>97</v>
      </c>
      <c r="O3" t="s">
        <v>96</v>
      </c>
      <c r="P3" t="s">
        <v>81</v>
      </c>
      <c r="R3">
        <v>3.98</v>
      </c>
      <c r="S3">
        <v>4.12</v>
      </c>
      <c r="T3">
        <v>2.81</v>
      </c>
      <c r="AN3" t="s">
        <v>75</v>
      </c>
      <c r="AO3" t="s">
        <v>78</v>
      </c>
      <c r="AY3" t="s">
        <v>76</v>
      </c>
      <c r="BE3" t="s">
        <v>105</v>
      </c>
      <c r="BU3" t="s">
        <v>80</v>
      </c>
      <c r="BV3" t="s">
        <v>82</v>
      </c>
      <c r="BZ3" s="9" t="str">
        <f t="shared" ref="BZ3:BZ7" si="1">"../CRreport/logos/Diamond.jpg?lotid="&amp;BE3</f>
        <v>../CRreport/logos/Diamond.jpg?lotid=M1007</v>
      </c>
      <c r="CA3" s="9" t="str">
        <f t="shared" ref="CA3:CA7" si="2">"../CRreport/logos/DiamondVideo.mp4?lotid="&amp;BE3</f>
        <v>../CRreport/logos/DiamondVideo.mp4?lotid=M1007</v>
      </c>
      <c r="CB3" s="9" t="s">
        <v>118</v>
      </c>
    </row>
    <row r="4" spans="1:82">
      <c r="B4" t="s">
        <v>83</v>
      </c>
      <c r="C4" t="s">
        <v>112</v>
      </c>
      <c r="E4" t="s">
        <v>79</v>
      </c>
      <c r="F4" t="s">
        <v>72</v>
      </c>
      <c r="G4">
        <v>0.38100000000000001</v>
      </c>
      <c r="H4">
        <v>1</v>
      </c>
      <c r="I4">
        <v>0</v>
      </c>
      <c r="J4">
        <v>-32</v>
      </c>
      <c r="K4" s="5">
        <v>0</v>
      </c>
      <c r="L4" s="7">
        <f t="shared" si="0"/>
        <v>0</v>
      </c>
      <c r="M4" t="s">
        <v>73</v>
      </c>
      <c r="N4" t="s">
        <v>110</v>
      </c>
      <c r="O4" t="s">
        <v>96</v>
      </c>
      <c r="P4" t="s">
        <v>84</v>
      </c>
      <c r="R4">
        <v>4.5599999999999996</v>
      </c>
      <c r="S4">
        <v>4.59</v>
      </c>
      <c r="T4">
        <v>2.89</v>
      </c>
      <c r="AN4" t="s">
        <v>75</v>
      </c>
      <c r="AO4" t="s">
        <v>83</v>
      </c>
      <c r="AY4" t="s">
        <v>76</v>
      </c>
      <c r="BE4" t="s">
        <v>106</v>
      </c>
      <c r="BU4" t="s">
        <v>73</v>
      </c>
      <c r="BV4" t="s">
        <v>77</v>
      </c>
      <c r="BZ4" s="9" t="str">
        <f t="shared" si="1"/>
        <v>../CRreport/logos/Diamond.jpg?lotid=M1008</v>
      </c>
      <c r="CA4" s="9" t="str">
        <f t="shared" si="2"/>
        <v>../CRreport/logos/DiamondVideo.mp4?lotid=M1008</v>
      </c>
      <c r="CB4" s="9" t="s">
        <v>118</v>
      </c>
    </row>
    <row r="5" spans="1:82">
      <c r="B5" t="s">
        <v>85</v>
      </c>
      <c r="C5" t="s">
        <v>112</v>
      </c>
      <c r="E5" t="s">
        <v>86</v>
      </c>
      <c r="F5" t="s">
        <v>72</v>
      </c>
      <c r="G5">
        <v>1</v>
      </c>
      <c r="H5">
        <v>1</v>
      </c>
      <c r="I5">
        <v>0</v>
      </c>
      <c r="J5">
        <v>-30</v>
      </c>
      <c r="K5" s="5">
        <v>0</v>
      </c>
      <c r="L5" s="7">
        <f t="shared" si="0"/>
        <v>0</v>
      </c>
      <c r="M5" t="s">
        <v>87</v>
      </c>
      <c r="N5" t="s">
        <v>87</v>
      </c>
      <c r="O5" t="s">
        <v>111</v>
      </c>
      <c r="P5" t="s">
        <v>81</v>
      </c>
      <c r="R5">
        <v>6.38</v>
      </c>
      <c r="S5">
        <v>6.41</v>
      </c>
      <c r="T5">
        <v>3.97</v>
      </c>
      <c r="AN5" t="s">
        <v>75</v>
      </c>
      <c r="AO5" t="s">
        <v>85</v>
      </c>
      <c r="AY5" t="s">
        <v>76</v>
      </c>
      <c r="BE5" t="s">
        <v>107</v>
      </c>
      <c r="BU5" t="s">
        <v>87</v>
      </c>
      <c r="BV5" t="s">
        <v>88</v>
      </c>
      <c r="BZ5" s="9" t="str">
        <f t="shared" si="1"/>
        <v>../CRreport/logos/Diamond.jpg?lotid=M1009</v>
      </c>
      <c r="CA5" s="9" t="str">
        <f t="shared" si="2"/>
        <v>../CRreport/logos/DiamondVideo.mp4?lotid=M1009</v>
      </c>
      <c r="CB5" s="9" t="s">
        <v>118</v>
      </c>
    </row>
    <row r="6" spans="1:82">
      <c r="B6" t="s">
        <v>89</v>
      </c>
      <c r="C6" t="s">
        <v>113</v>
      </c>
      <c r="E6" t="s">
        <v>90</v>
      </c>
      <c r="F6" t="s">
        <v>91</v>
      </c>
      <c r="G6">
        <v>0.51</v>
      </c>
      <c r="H6">
        <v>1</v>
      </c>
      <c r="I6">
        <v>0</v>
      </c>
      <c r="J6">
        <v>-25</v>
      </c>
      <c r="K6" s="5">
        <v>0</v>
      </c>
      <c r="L6" s="7">
        <f t="shared" si="0"/>
        <v>0</v>
      </c>
      <c r="N6" t="s">
        <v>110</v>
      </c>
      <c r="O6" t="s">
        <v>110</v>
      </c>
      <c r="P6" t="s">
        <v>92</v>
      </c>
      <c r="R6">
        <v>5.56</v>
      </c>
      <c r="S6">
        <v>4.24</v>
      </c>
      <c r="T6">
        <v>2.95</v>
      </c>
      <c r="AN6" t="s">
        <v>75</v>
      </c>
      <c r="AO6" t="s">
        <v>89</v>
      </c>
      <c r="AY6" t="s">
        <v>76</v>
      </c>
      <c r="BE6" t="s">
        <v>108</v>
      </c>
      <c r="BV6" t="s">
        <v>93</v>
      </c>
      <c r="BZ6" s="9" t="str">
        <f t="shared" si="1"/>
        <v>../CRreport/logos/Diamond.jpg?lotid=M1010</v>
      </c>
      <c r="CA6" s="9" t="str">
        <f t="shared" si="2"/>
        <v>../CRreport/logos/DiamondVideo.mp4?lotid=M1010</v>
      </c>
      <c r="CB6" s="9" t="s">
        <v>118</v>
      </c>
    </row>
    <row r="7" spans="1:82">
      <c r="B7" t="s">
        <v>94</v>
      </c>
      <c r="C7" t="s">
        <v>113</v>
      </c>
      <c r="E7" t="s">
        <v>95</v>
      </c>
      <c r="F7" t="s">
        <v>91</v>
      </c>
      <c r="G7">
        <v>0.57099999999999995</v>
      </c>
      <c r="H7">
        <v>1</v>
      </c>
      <c r="I7">
        <v>0</v>
      </c>
      <c r="J7">
        <v>-20</v>
      </c>
      <c r="K7" s="5">
        <v>0</v>
      </c>
      <c r="L7" s="7">
        <f t="shared" si="0"/>
        <v>0</v>
      </c>
      <c r="N7" t="s">
        <v>110</v>
      </c>
      <c r="O7" t="s">
        <v>110</v>
      </c>
      <c r="P7" t="s">
        <v>92</v>
      </c>
      <c r="R7">
        <v>4.24</v>
      </c>
      <c r="S7">
        <v>5.57</v>
      </c>
      <c r="T7">
        <v>3.22</v>
      </c>
      <c r="AN7" t="s">
        <v>75</v>
      </c>
      <c r="AO7" t="s">
        <v>94</v>
      </c>
      <c r="AY7" t="s">
        <v>76</v>
      </c>
      <c r="BE7" t="s">
        <v>109</v>
      </c>
      <c r="BV7" t="s">
        <v>93</v>
      </c>
      <c r="BZ7" s="9" t="str">
        <f t="shared" si="1"/>
        <v>../CRreport/logos/Diamond.jpg?lotid=M1011</v>
      </c>
      <c r="CA7" s="9" t="str">
        <f t="shared" si="2"/>
        <v>../CRreport/logos/DiamondVideo.mp4?lotid=M1011</v>
      </c>
      <c r="CB7" s="9" t="s">
        <v>118</v>
      </c>
    </row>
  </sheetData>
  <phoneticPr fontId="2"/>
  <printOptions horizontalCentered="1" gridLines="1"/>
  <pageMargins left="0.5" right="0" top="0.5" bottom="0" header="0.25" footer="0"/>
  <pageSetup paperSize="11" orientation="portrait" r:id="rId1"/>
  <headerFooter>
    <oddHeader>&amp;C&amp;"Arial,Bold"&amp;11 &amp;R&amp;D &amp;T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GOGI ANAND</dc:creator>
  <cp:lastModifiedBy>MYPC</cp:lastModifiedBy>
  <dcterms:created xsi:type="dcterms:W3CDTF">2019-06-04T05:38:16Z</dcterms:created>
  <dcterms:modified xsi:type="dcterms:W3CDTF">2025-09-20T04:45:47Z</dcterms:modified>
</cp:coreProperties>
</file>